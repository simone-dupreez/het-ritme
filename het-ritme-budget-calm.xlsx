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Set up" sheetId="1" state="visible" r:id="rId1"/>
    <sheet name="2 Accounts" sheetId="2" state="visible" r:id="rId2"/>
    <sheet name="3 Add spending" sheetId="3" state="visible" r:id="rId3"/>
    <sheet name="4 This month" sheetId="4" state="visible" r:id="rId4"/>
    <sheet name="5 Bills calendar" sheetId="5" state="visible" r:id="rId5"/>
    <sheet name="6 Stub" sheetId="6" state="visible" r:id="rId6"/>
    <sheet name="7 Stub" sheetId="7" state="visible" r:id="rId7"/>
    <sheet name="8 Stub" sheetId="8" state="visible" r:id="rId8"/>
    <sheet name="9 Stub" sheetId="9" state="visible" r:id="rId9"/>
    <sheet name="_config" sheetId="10" state="hidden" r:id="rId10"/>
    <sheet name="_calc" sheetId="11" state="hidden" r:id="rId11"/>
  </sheets>
  <definedNames>
    <definedName name="CFG_GROUP_OPTIONS">'_config'!$B$2:$B$7</definedName>
    <definedName name="BUCKETS">'_config'!$C$2:$C$4</definedName>
    <definedName name="FREQUENCIES">'_config'!$D$2:$D$7</definedName>
    <definedName name="ACCOUNT_TYPES">'_config'!$E$2:$E$5</definedName>
    <definedName name="MONTHS">'_config'!$F$2:$F$13</definedName>
    <definedName name="CFG_CURRENCY_OPTIONS">'_config'!$G$2:$G$20</definedName>
    <definedName name="CFG_LOCALE_OPTIONS">'_config'!$H$2:$H$3</definedName>
    <definedName name="CFG_METHOD_OPTIONS">'_config'!$I$2:$I$3</definedName>
    <definedName name="CFG_WEEK_START_OPTIONS">'_config'!$J$2:$J$3</definedName>
    <definedName name="CFG_EDITION_OPTIONS">'_config'!$K$2:$K$3</definedName>
    <definedName name="YES_NO">'_config'!$L$2:$L$3</definedName>
    <definedName name="ASSET_CATEGORIES">'_config'!$M$2:$M$6</definedName>
    <definedName name="STRATEGY_OPTIONS">'_config'!$N$2:$N$4</definedName>
    <definedName name="MONTH_LABELS">'_calc'!$B$2:$B$13</definedName>
    <definedName name="MONTH_STARTS">'_calc'!$C$2:$C$13</definedName>
    <definedName name="MONTH_ENDS">'_calc'!$D$2:$D$13</definedName>
    <definedName name="MONTH_DAYS">'_calc'!$E$2:$E$13</definedName>
    <definedName name="MONTH_REMAIN">'_calc'!$F$2:$F$13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 up your planner</t>
        </is>
      </c>
    </row>
    <row r="2">
      <c r="A2" t="inlineStr">
        <is>
          <t>Currency:</t>
        </is>
      </c>
      <c r="B2" t="inlineStr">
        <is>
          <t>€</t>
        </is>
      </c>
    </row>
    <row r="3">
      <c r="A3" t="inlineStr">
        <is>
          <t>Locale:</t>
        </is>
      </c>
      <c r="B3" t="inlineStr">
        <is>
          <t>EU</t>
        </is>
      </c>
    </row>
    <row r="4">
      <c r="A4" t="inlineStr">
        <is>
          <t>Year:</t>
        </is>
      </c>
      <c r="B4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Your accounts</t>
        </is>
      </c>
    </row>
    <row r="2">
      <c r="A2" t="inlineStr">
        <is>
          <t>Name</t>
        </is>
      </c>
      <c r="B2" t="inlineStr">
        <is>
          <t>Type</t>
        </is>
      </c>
      <c r="C2" t="inlineStr">
        <is>
          <t>Opening</t>
        </is>
      </c>
      <c r="D2" t="inlineStr">
        <is>
          <t>Current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 spending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month</t>
        </is>
      </c>
    </row>
    <row r="2">
      <c r="A2" t="inlineStr">
        <is>
          <t>Left to spend</t>
        </is>
      </c>
      <c r="B2" t="n">
        <v>1500</v>
      </c>
    </row>
    <row r="3">
      <c r="A3" t="inlineStr">
        <is>
          <t>Spent</t>
        </is>
      </c>
      <c r="B3" t="n">
        <v>450</v>
      </c>
    </row>
    <row r="4">
      <c r="A4" t="inlineStr">
        <is>
          <t>Saved</t>
        </is>
      </c>
      <c r="B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Bills calendar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 6 — Coming in full implementation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 7 — Coming in full implementation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 8 — Coming in full implementation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 9 — Coming in full implementation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N20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t="inlineStr">
        <is>
          <t>Group options</t>
        </is>
      </c>
      <c r="C1" t="inlineStr">
        <is>
          <t>Bucket options</t>
        </is>
      </c>
      <c r="D1" t="inlineStr">
        <is>
          <t>Frequency options</t>
        </is>
      </c>
      <c r="E1" t="inlineStr">
        <is>
          <t>Account type options</t>
        </is>
      </c>
      <c r="F1" t="inlineStr">
        <is>
          <t>Months</t>
        </is>
      </c>
      <c r="G1" t="inlineStr">
        <is>
          <t>Currency options</t>
        </is>
      </c>
      <c r="H1" t="inlineStr">
        <is>
          <t>Locale options</t>
        </is>
      </c>
      <c r="I1" t="inlineStr">
        <is>
          <t>Method options</t>
        </is>
      </c>
      <c r="J1" t="inlineStr">
        <is>
          <t>Week start options</t>
        </is>
      </c>
      <c r="K1" t="inlineStr">
        <is>
          <t>Edition options</t>
        </is>
      </c>
      <c r="L1" t="inlineStr">
        <is>
          <t>Yes/No</t>
        </is>
      </c>
      <c r="M1" t="inlineStr">
        <is>
          <t>Asset category options</t>
        </is>
      </c>
      <c r="N1" t="inlineStr">
        <is>
          <t>Strategy options</t>
        </is>
      </c>
    </row>
    <row r="2">
      <c r="B2" t="inlineStr">
        <is>
          <t>Housing</t>
        </is>
      </c>
      <c r="C2" t="inlineStr">
        <is>
          <t>Need</t>
        </is>
      </c>
      <c r="D2" t="inlineStr">
        <is>
          <t>Weekly</t>
        </is>
      </c>
      <c r="E2" t="inlineStr">
        <is>
          <t>Checking</t>
        </is>
      </c>
      <c r="F2" t="inlineStr">
        <is>
          <t>January</t>
        </is>
      </c>
      <c r="G2" t="inlineStr">
        <is>
          <t>€</t>
        </is>
      </c>
      <c r="H2" t="inlineStr">
        <is>
          <t>EU</t>
        </is>
      </c>
      <c r="I2" t="inlineStr">
        <is>
          <t>Zero-based</t>
        </is>
      </c>
      <c r="J2" t="inlineStr">
        <is>
          <t>Mon</t>
        </is>
      </c>
      <c r="K2" t="inlineStr">
        <is>
          <t>Calm</t>
        </is>
      </c>
      <c r="L2" t="inlineStr">
        <is>
          <t>Yes</t>
        </is>
      </c>
      <c r="M2" t="inlineStr">
        <is>
          <t>Cash</t>
        </is>
      </c>
      <c r="N2" t="inlineStr">
        <is>
          <t>Snowball</t>
        </is>
      </c>
    </row>
    <row r="3">
      <c r="B3" t="inlineStr">
        <is>
          <t>Food</t>
        </is>
      </c>
      <c r="C3" t="inlineStr">
        <is>
          <t>Want</t>
        </is>
      </c>
      <c r="D3" t="inlineStr">
        <is>
          <t>4-weekly</t>
        </is>
      </c>
      <c r="E3" t="inlineStr">
        <is>
          <t>Savings</t>
        </is>
      </c>
      <c r="F3" t="inlineStr">
        <is>
          <t>February</t>
        </is>
      </c>
      <c r="G3" t="inlineStr">
        <is>
          <t>$</t>
        </is>
      </c>
      <c r="H3" t="inlineStr">
        <is>
          <t>US</t>
        </is>
      </c>
      <c r="I3" t="inlineStr">
        <is>
          <t>Carry-over</t>
        </is>
      </c>
      <c r="J3" t="inlineStr">
        <is>
          <t>Sun</t>
        </is>
      </c>
      <c r="K3" t="inlineStr">
        <is>
          <t>Loud</t>
        </is>
      </c>
      <c r="L3" t="inlineStr">
        <is>
          <t>No</t>
        </is>
      </c>
      <c r="M3" t="inlineStr">
        <is>
          <t>Investments</t>
        </is>
      </c>
      <c r="N3" t="inlineStr">
        <is>
          <t>Avalanche</t>
        </is>
      </c>
    </row>
    <row r="4">
      <c r="B4" t="inlineStr">
        <is>
          <t>Transport</t>
        </is>
      </c>
      <c r="C4" t="inlineStr">
        <is>
          <t>Save</t>
        </is>
      </c>
      <c r="D4" t="inlineStr">
        <is>
          <t>Monthly</t>
        </is>
      </c>
      <c r="E4" t="inlineStr">
        <is>
          <t>Cash</t>
        </is>
      </c>
      <c r="F4" t="inlineStr">
        <is>
          <t>March</t>
        </is>
      </c>
      <c r="G4" t="inlineStr">
        <is>
          <t>£</t>
        </is>
      </c>
      <c r="M4" t="inlineStr">
        <is>
          <t>Property</t>
        </is>
      </c>
      <c r="N4" t="inlineStr">
        <is>
          <t>Custom</t>
        </is>
      </c>
    </row>
    <row r="5">
      <c r="B5" t="inlineStr">
        <is>
          <t>Life</t>
        </is>
      </c>
      <c r="D5" t="inlineStr">
        <is>
          <t>Quarterly</t>
        </is>
      </c>
      <c r="E5" t="inlineStr">
        <is>
          <t>Credit card</t>
        </is>
      </c>
      <c r="F5" t="inlineStr">
        <is>
          <t>April</t>
        </is>
      </c>
      <c r="G5" t="inlineStr">
        <is>
          <t>R</t>
        </is>
      </c>
      <c r="M5" t="inlineStr">
        <is>
          <t>Vehicle</t>
        </is>
      </c>
    </row>
    <row r="6">
      <c r="B6" t="inlineStr">
        <is>
          <t>Savings</t>
        </is>
      </c>
      <c r="D6" t="inlineStr">
        <is>
          <t>Annually</t>
        </is>
      </c>
      <c r="F6" t="inlineStr">
        <is>
          <t>May</t>
        </is>
      </c>
      <c r="G6" t="inlineStr">
        <is>
          <t>¥</t>
        </is>
      </c>
      <c r="M6" t="inlineStr">
        <is>
          <t>Other</t>
        </is>
      </c>
    </row>
    <row r="7">
      <c r="B7" t="inlineStr">
        <is>
          <t>Debt</t>
        </is>
      </c>
      <c r="D7" t="inlineStr">
        <is>
          <t>One-off</t>
        </is>
      </c>
      <c r="F7" t="inlineStr">
        <is>
          <t>June</t>
        </is>
      </c>
      <c r="G7" t="inlineStr">
        <is>
          <t>₹</t>
        </is>
      </c>
    </row>
    <row r="8">
      <c r="F8" t="inlineStr">
        <is>
          <t>July</t>
        </is>
      </c>
      <c r="G8" t="inlineStr">
        <is>
          <t>₪</t>
        </is>
      </c>
    </row>
    <row r="9">
      <c r="F9" t="inlineStr">
        <is>
          <t>August</t>
        </is>
      </c>
      <c r="G9" t="inlineStr">
        <is>
          <t>kr</t>
        </is>
      </c>
    </row>
    <row r="10">
      <c r="F10" t="inlineStr">
        <is>
          <t>September</t>
        </is>
      </c>
      <c r="G10" t="inlineStr">
        <is>
          <t>zł</t>
        </is>
      </c>
    </row>
    <row r="11">
      <c r="F11" t="inlineStr">
        <is>
          <t>October</t>
        </is>
      </c>
      <c r="G11" t="inlineStr">
        <is>
          <t>₱</t>
        </is>
      </c>
    </row>
    <row r="12">
      <c r="F12" t="inlineStr">
        <is>
          <t>November</t>
        </is>
      </c>
      <c r="G12" t="inlineStr">
        <is>
          <t>R$</t>
        </is>
      </c>
    </row>
    <row r="13">
      <c r="F13" t="inlineStr">
        <is>
          <t>December</t>
        </is>
      </c>
      <c r="G13" t="inlineStr">
        <is>
          <t>A$</t>
        </is>
      </c>
    </row>
    <row r="14">
      <c r="G14" t="inlineStr">
        <is>
          <t>C$</t>
        </is>
      </c>
    </row>
    <row r="15">
      <c r="G15" t="inlineStr">
        <is>
          <t>CHF</t>
        </is>
      </c>
    </row>
    <row r="16">
      <c r="G16" t="inlineStr">
        <is>
          <t>₩</t>
        </is>
      </c>
    </row>
    <row r="17">
      <c r="G17" t="inlineStr">
        <is>
          <t>฿</t>
        </is>
      </c>
    </row>
    <row r="18">
      <c r="G18" t="inlineStr">
        <is>
          <t>RM</t>
        </is>
      </c>
    </row>
    <row r="19">
      <c r="G19" t="inlineStr">
        <is>
          <t>₫</t>
        </is>
      </c>
    </row>
    <row r="20">
      <c r="G20" t="inlineStr">
        <is>
          <t>None (blank)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idx</t>
        </is>
      </c>
      <c r="B1" t="inlineStr">
        <is>
          <t>label</t>
        </is>
      </c>
      <c r="C1" t="inlineStr">
        <is>
          <t>start</t>
        </is>
      </c>
      <c r="D1" t="inlineStr">
        <is>
          <t>end</t>
        </is>
      </c>
      <c r="E1" t="inlineStr">
        <is>
          <t>days_in_month</t>
        </is>
      </c>
      <c r="F1" t="inlineStr">
        <is>
          <t>days_remaining</t>
        </is>
      </c>
      <c r="G1" t="inlineStr">
        <is>
          <t>prior_idx</t>
        </is>
      </c>
    </row>
    <row r="2">
      <c r="A2" t="n">
        <v>1</v>
      </c>
      <c r="B2">
        <f>IFERROR(TEXT(C2,"MMMM YYYY"),"")</f>
        <v/>
      </c>
      <c r="C2">
        <f>IFERROR(DATE(CFG_YEAR + INT((MATCH(CFG_START_MONTH,MONTHS,0)-1+0)/12),MOD(MATCH(CFG_START_MONTH,MONTHS,0)-1+0,12)+1,1),"")</f>
        <v/>
      </c>
      <c r="D2">
        <f>IFERROR(EOMONTH(C2,0),"")</f>
        <v/>
      </c>
      <c r="E2">
        <f>IFERROR(DAY(D2),"")</f>
        <v/>
      </c>
      <c r="F2">
        <f>IFERROR(IF(AND(TODAY()&gt;=C2,TODAY()&lt;=D2),D2-TODAY()+1,IF(TODAY()&lt;C2,E2,0)),"")</f>
        <v/>
      </c>
      <c r="G2" t="n">
        <v>0</v>
      </c>
    </row>
    <row r="3">
      <c r="A3" t="n">
        <v>2</v>
      </c>
      <c r="B3">
        <f>IFERROR(TEXT(C3,"MMMM YYYY"),"")</f>
        <v/>
      </c>
      <c r="C3">
        <f>IFERROR(DATE(CFG_YEAR + INT((MATCH(CFG_START_MONTH,MONTHS,0)-1+1)/12),MOD(MATCH(CFG_START_MONTH,MONTHS,0)-1+1,12)+1,1),"")</f>
        <v/>
      </c>
      <c r="D3">
        <f>IFERROR(EOMONTH(C3,0),"")</f>
        <v/>
      </c>
      <c r="E3">
        <f>IFERROR(DAY(D3),"")</f>
        <v/>
      </c>
      <c r="F3">
        <f>IFERROR(IF(AND(TODAY()&gt;=C3,TODAY()&lt;=D3),D3-TODAY()+1,IF(TODAY()&lt;C3,E3,0)),"")</f>
        <v/>
      </c>
      <c r="G3" t="n">
        <v>1</v>
      </c>
    </row>
    <row r="4">
      <c r="A4" t="n">
        <v>3</v>
      </c>
      <c r="B4">
        <f>IFERROR(TEXT(C4,"MMMM YYYY"),"")</f>
        <v/>
      </c>
      <c r="C4">
        <f>IFERROR(DATE(CFG_YEAR + INT((MATCH(CFG_START_MONTH,MONTHS,0)-1+2)/12),MOD(MATCH(CFG_START_MONTH,MONTHS,0)-1+2,12)+1,1),"")</f>
        <v/>
      </c>
      <c r="D4">
        <f>IFERROR(EOMONTH(C4,0),"")</f>
        <v/>
      </c>
      <c r="E4">
        <f>IFERROR(DAY(D4),"")</f>
        <v/>
      </c>
      <c r="F4">
        <f>IFERROR(IF(AND(TODAY()&gt;=C4,TODAY()&lt;=D4),D4-TODAY()+1,IF(TODAY()&lt;C4,E4,0)),"")</f>
        <v/>
      </c>
      <c r="G4" t="n">
        <v>2</v>
      </c>
    </row>
    <row r="5">
      <c r="A5" t="n">
        <v>4</v>
      </c>
      <c r="B5">
        <f>IFERROR(TEXT(C5,"MMMM YYYY"),"")</f>
        <v/>
      </c>
      <c r="C5">
        <f>IFERROR(DATE(CFG_YEAR + INT((MATCH(CFG_START_MONTH,MONTHS,0)-1+3)/12),MOD(MATCH(CFG_START_MONTH,MONTHS,0)-1+3,12)+1,1),"")</f>
        <v/>
      </c>
      <c r="D5">
        <f>IFERROR(EOMONTH(C5,0),"")</f>
        <v/>
      </c>
      <c r="E5">
        <f>IFERROR(DAY(D5),"")</f>
        <v/>
      </c>
      <c r="F5">
        <f>IFERROR(IF(AND(TODAY()&gt;=C5,TODAY()&lt;=D5),D5-TODAY()+1,IF(TODAY()&lt;C5,E5,0)),"")</f>
        <v/>
      </c>
      <c r="G5" t="n">
        <v>3</v>
      </c>
    </row>
    <row r="6">
      <c r="A6" t="n">
        <v>5</v>
      </c>
      <c r="B6">
        <f>IFERROR(TEXT(C6,"MMMM YYYY"),"")</f>
        <v/>
      </c>
      <c r="C6">
        <f>IFERROR(DATE(CFG_YEAR + INT((MATCH(CFG_START_MONTH,MONTHS,0)-1+4)/12),MOD(MATCH(CFG_START_MONTH,MONTHS,0)-1+4,12)+1,1),"")</f>
        <v/>
      </c>
      <c r="D6">
        <f>IFERROR(EOMONTH(C6,0),"")</f>
        <v/>
      </c>
      <c r="E6">
        <f>IFERROR(DAY(D6),"")</f>
        <v/>
      </c>
      <c r="F6">
        <f>IFERROR(IF(AND(TODAY()&gt;=C6,TODAY()&lt;=D6),D6-TODAY()+1,IF(TODAY()&lt;C6,E6,0)),"")</f>
        <v/>
      </c>
      <c r="G6" t="n">
        <v>4</v>
      </c>
    </row>
    <row r="7">
      <c r="A7" t="n">
        <v>6</v>
      </c>
      <c r="B7">
        <f>IFERROR(TEXT(C7,"MMMM YYYY"),"")</f>
        <v/>
      </c>
      <c r="C7">
        <f>IFERROR(DATE(CFG_YEAR + INT((MATCH(CFG_START_MONTH,MONTHS,0)-1+5)/12),MOD(MATCH(CFG_START_MONTH,MONTHS,0)-1+5,12)+1,1),"")</f>
        <v/>
      </c>
      <c r="D7">
        <f>IFERROR(EOMONTH(C7,0),"")</f>
        <v/>
      </c>
      <c r="E7">
        <f>IFERROR(DAY(D7),"")</f>
        <v/>
      </c>
      <c r="F7">
        <f>IFERROR(IF(AND(TODAY()&gt;=C7,TODAY()&lt;=D7),D7-TODAY()+1,IF(TODAY()&lt;C7,E7,0)),"")</f>
        <v/>
      </c>
      <c r="G7" t="n">
        <v>5</v>
      </c>
    </row>
    <row r="8">
      <c r="A8" t="n">
        <v>7</v>
      </c>
      <c r="B8">
        <f>IFERROR(TEXT(C8,"MMMM YYYY"),"")</f>
        <v/>
      </c>
      <c r="C8">
        <f>IFERROR(DATE(CFG_YEAR + INT((MATCH(CFG_START_MONTH,MONTHS,0)-1+6)/12),MOD(MATCH(CFG_START_MONTH,MONTHS,0)-1+6,12)+1,1),"")</f>
        <v/>
      </c>
      <c r="D8">
        <f>IFERROR(EOMONTH(C8,0),"")</f>
        <v/>
      </c>
      <c r="E8">
        <f>IFERROR(DAY(D8),"")</f>
        <v/>
      </c>
      <c r="F8">
        <f>IFERROR(IF(AND(TODAY()&gt;=C8,TODAY()&lt;=D8),D8-TODAY()+1,IF(TODAY()&lt;C8,E8,0)),"")</f>
        <v/>
      </c>
      <c r="G8" t="n">
        <v>6</v>
      </c>
    </row>
    <row r="9">
      <c r="A9" t="n">
        <v>8</v>
      </c>
      <c r="B9">
        <f>IFERROR(TEXT(C9,"MMMM YYYY"),"")</f>
        <v/>
      </c>
      <c r="C9">
        <f>IFERROR(DATE(CFG_YEAR + INT((MATCH(CFG_START_MONTH,MONTHS,0)-1+7)/12),MOD(MATCH(CFG_START_MONTH,MONTHS,0)-1+7,12)+1,1),"")</f>
        <v/>
      </c>
      <c r="D9">
        <f>IFERROR(EOMONTH(C9,0),"")</f>
        <v/>
      </c>
      <c r="E9">
        <f>IFERROR(DAY(D9),"")</f>
        <v/>
      </c>
      <c r="F9">
        <f>IFERROR(IF(AND(TODAY()&gt;=C9,TODAY()&lt;=D9),D9-TODAY()+1,IF(TODAY()&lt;C9,E9,0)),"")</f>
        <v/>
      </c>
      <c r="G9" t="n">
        <v>7</v>
      </c>
    </row>
    <row r="10">
      <c r="A10" t="n">
        <v>9</v>
      </c>
      <c r="B10">
        <f>IFERROR(TEXT(C10,"MMMM YYYY"),"")</f>
        <v/>
      </c>
      <c r="C10">
        <f>IFERROR(DATE(CFG_YEAR + INT((MATCH(CFG_START_MONTH,MONTHS,0)-1+8)/12),MOD(MATCH(CFG_START_MONTH,MONTHS,0)-1+8,12)+1,1),"")</f>
        <v/>
      </c>
      <c r="D10">
        <f>IFERROR(EOMONTH(C10,0),"")</f>
        <v/>
      </c>
      <c r="E10">
        <f>IFERROR(DAY(D10),"")</f>
        <v/>
      </c>
      <c r="F10">
        <f>IFERROR(IF(AND(TODAY()&gt;=C10,TODAY()&lt;=D10),D10-TODAY()+1,IF(TODAY()&lt;C10,E10,0)),"")</f>
        <v/>
      </c>
      <c r="G10" t="n">
        <v>8</v>
      </c>
    </row>
    <row r="11">
      <c r="A11" t="n">
        <v>10</v>
      </c>
      <c r="B11">
        <f>IFERROR(TEXT(C11,"MMMM YYYY"),"")</f>
        <v/>
      </c>
      <c r="C11">
        <f>IFERROR(DATE(CFG_YEAR + INT((MATCH(CFG_START_MONTH,MONTHS,0)-1+9)/12),MOD(MATCH(CFG_START_MONTH,MONTHS,0)-1+9,12)+1,1),"")</f>
        <v/>
      </c>
      <c r="D11">
        <f>IFERROR(EOMONTH(C11,0),"")</f>
        <v/>
      </c>
      <c r="E11">
        <f>IFERROR(DAY(D11),"")</f>
        <v/>
      </c>
      <c r="F11">
        <f>IFERROR(IF(AND(TODAY()&gt;=C11,TODAY()&lt;=D11),D11-TODAY()+1,IF(TODAY()&lt;C11,E11,0)),"")</f>
        <v/>
      </c>
      <c r="G11" t="n">
        <v>9</v>
      </c>
    </row>
    <row r="12">
      <c r="A12" t="n">
        <v>11</v>
      </c>
      <c r="B12">
        <f>IFERROR(TEXT(C12,"MMMM YYYY"),"")</f>
        <v/>
      </c>
      <c r="C12">
        <f>IFERROR(DATE(CFG_YEAR + INT((MATCH(CFG_START_MONTH,MONTHS,0)-1+10)/12),MOD(MATCH(CFG_START_MONTH,MONTHS,0)-1+10,12)+1,1),"")</f>
        <v/>
      </c>
      <c r="D12">
        <f>IFERROR(EOMONTH(C12,0),"")</f>
        <v/>
      </c>
      <c r="E12">
        <f>IFERROR(DAY(D12),"")</f>
        <v/>
      </c>
      <c r="F12">
        <f>IFERROR(IF(AND(TODAY()&gt;=C12,TODAY()&lt;=D12),D12-TODAY()+1,IF(TODAY()&lt;C12,E12,0)),"")</f>
        <v/>
      </c>
      <c r="G12" t="n">
        <v>10</v>
      </c>
    </row>
    <row r="13">
      <c r="A13" t="n">
        <v>12</v>
      </c>
      <c r="B13">
        <f>IFERROR(TEXT(C13,"MMMM YYYY"),"")</f>
        <v/>
      </c>
      <c r="C13">
        <f>IFERROR(DATE(CFG_YEAR + INT((MATCH(CFG_START_MONTH,MONTHS,0)-1+11)/12),MOD(MATCH(CFG_START_MONTH,MONTHS,0)-1+11,12)+1,1),"")</f>
        <v/>
      </c>
      <c r="D13">
        <f>IFERROR(EOMONTH(C13,0),"")</f>
        <v/>
      </c>
      <c r="E13">
        <f>IFERROR(DAY(D13),"")</f>
        <v/>
      </c>
      <c r="F13">
        <f>IFERROR(IF(AND(TODAY()&gt;=C13,TODAY()&lt;=D13),D13-TODAY()+1,IF(TODAY()&lt;C13,E13,0)),"")</f>
        <v/>
      </c>
      <c r="G1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2026-09-05T23:33:48Z</dcterms:created>
  <dcterms:modified xsi:type="dcterms:W3CDTF">2026-09-05T23:33:48Z</dcterms:modified>
</cp:coreProperties>
</file>